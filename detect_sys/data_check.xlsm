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Code\GitHub\my-projects\detect_sys\"/>
    </mc:Choice>
  </mc:AlternateContent>
  <xr:revisionPtr revIDLastSave="0" documentId="13_ncr:1_{AAC19598-2D7D-46C3-993C-D2DEE6E02020}" xr6:coauthVersionLast="47" xr6:coauthVersionMax="47" xr10:uidLastSave="{00000000-0000-0000-0000-000000000000}"/>
  <bookViews>
    <workbookView xWindow="-120" yWindow="-120" windowWidth="29040" windowHeight="15720" xr2:uid="{B0B3A365-BEB8-4436-B7FB-7265F9016EE4}"/>
  </bookViews>
  <sheets>
    <sheet name="Sheet1" sheetId="1" r:id="rId1"/>
    <sheet name="data" sheetId="2" r:id="rId2"/>
  </sheets>
  <functionGroups builtInGroupCount="19"/>
  <definedNames>
    <definedName name="_xlnm._FilterDatabase" localSheetId="1" hidden="1">data!$A$1:$B$43050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" i="2" l="1"/>
  <c r="H2" i="2"/>
  <c r="H8" i="2" l="1"/>
  <c r="H9" i="2"/>
  <c r="H10" i="2"/>
  <c r="H3" i="2"/>
  <c r="H4" i="2"/>
  <c r="H5" i="2"/>
  <c r="H6" i="2"/>
  <c r="H7" i="2"/>
  <c r="F2" i="1" l="1"/>
</calcChain>
</file>

<file path=xl/sharedStrings.xml><?xml version="1.0" encoding="utf-8"?>
<sst xmlns="http://schemas.openxmlformats.org/spreadsheetml/2006/main" count="237" uniqueCount="234">
  <si>
    <t>X_TIME</t>
    <phoneticPr fontId="1"/>
  </si>
  <si>
    <t>DURATION_MS</t>
    <phoneticPr fontId="1"/>
  </si>
  <si>
    <t>ファイル名</t>
    <rPh sb="4" eb="5">
      <t>メイ</t>
    </rPh>
    <phoneticPr fontId="1"/>
  </si>
  <si>
    <t>シリンダ名称</t>
    <rPh sb="4" eb="6">
      <t>メイショウ</t>
    </rPh>
    <phoneticPr fontId="1"/>
  </si>
  <si>
    <t>name</t>
  </si>
  <si>
    <t>x</t>
  </si>
  <si>
    <t>y</t>
  </si>
  <si>
    <t>data001</t>
  </si>
  <si>
    <t>ｴﾊﾞ位置決め部押え1 後退</t>
  </si>
  <si>
    <t>ｴﾊﾞ位置決め部押え1 後退端</t>
  </si>
  <si>
    <t>data002</t>
  </si>
  <si>
    <t>ｴﾊﾞ位置決め部押え1 前進</t>
  </si>
  <si>
    <t>ｴﾊﾞ位置決め部押え1 前進端</t>
  </si>
  <si>
    <t>data003</t>
  </si>
  <si>
    <t>ｴﾊﾞ位置決め部押え2 後退</t>
  </si>
  <si>
    <t>ｴﾊﾞ位置決め部押え2 後退端</t>
  </si>
  <si>
    <t>data004</t>
  </si>
  <si>
    <t>ｴﾊﾞ位置決め部押え2 前進</t>
  </si>
  <si>
    <t>ｴﾊﾞ位置決め部押え2 前進端</t>
  </si>
  <si>
    <t>data005</t>
  </si>
  <si>
    <t>ｼｬﾄﾙ部ﾁｬｯｸ ｱﾝﾁｬｯｸ</t>
  </si>
  <si>
    <t>ｼｬﾄﾙ部ﾁｬｯｸ ｱﾝﾁｬｯｸ端</t>
  </si>
  <si>
    <t>data006</t>
  </si>
  <si>
    <t>ｼｬﾄﾙ部ﾁｬｯｸ ﾁｬｯｸ</t>
  </si>
  <si>
    <t>ｼｬﾄﾙ部ﾁｬｯｸ ﾁｬｯｸ端</t>
  </si>
  <si>
    <t>data007</t>
  </si>
  <si>
    <t>ｼｬﾄﾙ部ﾁｬｯｸ 下降</t>
  </si>
  <si>
    <t>ｼｬﾄﾙ部ﾁｬｯｸ 下降端</t>
  </si>
  <si>
    <t>data008</t>
  </si>
  <si>
    <t>ｼｬﾄﾙ部ﾁｬｯｸ 後退</t>
  </si>
  <si>
    <t>ｼｬﾄﾙ部ﾁｬｯｸ 後退端</t>
  </si>
  <si>
    <t>data009</t>
  </si>
  <si>
    <t>ｼｬﾄﾙ部ﾁｬｯｸ 上昇</t>
  </si>
  <si>
    <t>ｼｬﾄﾙ部ﾁｬｯｸ 上昇端</t>
  </si>
  <si>
    <t>data010</t>
  </si>
  <si>
    <t>ｼｬﾄﾙ部ﾁｬｯｸ 前進</t>
  </si>
  <si>
    <t>ｼｬﾄﾙ部ﾁｬｯｸ 前進端</t>
  </si>
  <si>
    <t>data011</t>
  </si>
  <si>
    <t>ﾃｰﾌﾞﾙ位置決め 下降</t>
  </si>
  <si>
    <t>ﾃｰﾌﾞﾙ位置決め 下降端</t>
  </si>
  <si>
    <t>data012</t>
  </si>
  <si>
    <t>ﾃｰﾌﾞﾙ位置決め 上昇</t>
  </si>
  <si>
    <t>ﾃｰﾌﾞﾙ位置決め 上昇端</t>
  </si>
  <si>
    <t>data013</t>
  </si>
  <si>
    <t>ねじ締め1部BKT押え（横）後退</t>
  </si>
  <si>
    <t>ねじ締め1部BKT押え（横）後退端</t>
  </si>
  <si>
    <t>data014</t>
  </si>
  <si>
    <t>ねじ締め1部BKT押え（横）前進</t>
  </si>
  <si>
    <t>ねじ締め1部BKT押え（横）前進端</t>
  </si>
  <si>
    <t>data015</t>
  </si>
  <si>
    <t>ねじ締め1部BKT押え（上）ｽﾗｲﾄﾞ 後退</t>
  </si>
  <si>
    <t>ねじ締め1部BKT押え（上） ｽﾗｲﾄﾞ後退端</t>
  </si>
  <si>
    <t>data016</t>
  </si>
  <si>
    <t>ねじ締め1部BKT押え（上）ｽﾗｲﾄﾞ 前進</t>
  </si>
  <si>
    <t>ねじ締め1部BKT押え（上） ｽﾗｲﾄﾞ前進端</t>
  </si>
  <si>
    <t>data017</t>
  </si>
  <si>
    <t>ねじ締め1部BKT押え（上）下降</t>
  </si>
  <si>
    <t>ねじ締め1部BKT押え（上）後退端</t>
  </si>
  <si>
    <t>data018</t>
  </si>
  <si>
    <t>ねじ締め1部BKT押え（上）上昇</t>
  </si>
  <si>
    <t>ねじ締め1部BKT押え（上）前進端</t>
  </si>
  <si>
    <t>data019</t>
  </si>
  <si>
    <t>ねじ締め1部BKT基準旋回 旋回</t>
  </si>
  <si>
    <t>ねじ締め1部BKT基準旋回 旋回端</t>
  </si>
  <si>
    <t>data020</t>
  </si>
  <si>
    <t>ねじ締め1部BKT基準旋回 戻し</t>
  </si>
  <si>
    <t>ねじ締め1部BKT基準旋回 戻し端</t>
  </si>
  <si>
    <t>data021</t>
  </si>
  <si>
    <t>ねじ締め1部ｴﾊﾞ押え 後退</t>
  </si>
  <si>
    <t>ねじ締め1部ｴﾊﾞ押え 後退端</t>
  </si>
  <si>
    <t>data022</t>
  </si>
  <si>
    <t>ねじ締め1部ｴﾊﾞ押え 前進</t>
  </si>
  <si>
    <t>ねじ締め1部ｴﾊﾞ押え 前進端</t>
  </si>
  <si>
    <t>data023</t>
  </si>
  <si>
    <t>ねじ締め2部BKT押え（横）後退</t>
  </si>
  <si>
    <t>ねじ締め2部BKT押え（横）後退端</t>
  </si>
  <si>
    <t>data024</t>
  </si>
  <si>
    <t>ねじ締め2部BKT押え（横）前進</t>
  </si>
  <si>
    <t>ねじ締め2部BKT押え（横）前進端</t>
  </si>
  <si>
    <t>data025</t>
  </si>
  <si>
    <t>ねじ締め2部BKT押え（上）ｽﾗｲﾄﾞ 後退</t>
  </si>
  <si>
    <t>ねじ締め2部BKT押え（上） ｽﾗｲﾄﾞ後退端</t>
  </si>
  <si>
    <t>data026</t>
  </si>
  <si>
    <t>ねじ締め2部BKT押え（上）ｽﾗｲﾄﾞ 前進</t>
  </si>
  <si>
    <t>ねじ締め2部BKT押え（上） ｽﾗｲﾄﾞ前進端</t>
  </si>
  <si>
    <t>data027</t>
  </si>
  <si>
    <t>ねじ締め2部BKT押え（上）下降</t>
  </si>
  <si>
    <t>ねじ締め2部BKT押え（上）後退端</t>
  </si>
  <si>
    <t>data028</t>
  </si>
  <si>
    <t>ねじ締め2部BKT押え（上）上昇</t>
  </si>
  <si>
    <t>ねじ締め2部BKT押え（上）前進端</t>
  </si>
  <si>
    <t>data029</t>
  </si>
  <si>
    <t>ねじ締め2部BKT基準旋回 旋回</t>
  </si>
  <si>
    <t>ねじ締め2部BKT基準旋回 旋回端</t>
  </si>
  <si>
    <t>data030</t>
  </si>
  <si>
    <t>ねじ締め2部BKT基準旋回 戻し</t>
  </si>
  <si>
    <t>ねじ締め2部BKT基準旋回 戻し端</t>
  </si>
  <si>
    <t>data031</t>
  </si>
  <si>
    <t>ねじ締め2部ｴﾊﾞ押え 後退</t>
  </si>
  <si>
    <t>ねじ締め2部ｴﾊﾞ押え 後退端</t>
  </si>
  <si>
    <t>data032</t>
  </si>
  <si>
    <t>ねじ締め2部ｴﾊﾞ押え 前進</t>
  </si>
  <si>
    <t>ねじ締め2部ｴﾊﾞ押え 前進端</t>
  </si>
  <si>
    <t>data033</t>
  </si>
  <si>
    <t>空ﾊﾟﾚｯﾄC/V2投入前ｴｽｹｰﾌﾟ下降</t>
  </si>
  <si>
    <t>空ﾊﾟﾚｯﾄC/V2投入前ｴｽｹｰﾌﾟ下降端</t>
  </si>
  <si>
    <t>data034</t>
  </si>
  <si>
    <t>空ﾊﾟﾚｯﾄC/V2投入前ｴｽｹｰﾌﾟ上昇</t>
  </si>
  <si>
    <t>空ﾊﾟﾚｯﾄC/V2投入前ｴｽｹｰﾌﾟ上昇端</t>
  </si>
  <si>
    <t>data035</t>
  </si>
  <si>
    <t>空ﾊﾟﾚｯﾄC/V2投入前ｽﾄｯﾊﾟ下降</t>
  </si>
  <si>
    <t>空ﾊﾟﾚｯﾄC/V2投入前ｽﾄｯﾊﾟ下降端</t>
  </si>
  <si>
    <t>data036</t>
  </si>
  <si>
    <t>空ﾊﾟﾚｯﾄC/V2投入前ｽﾄｯﾊﾟ上昇</t>
  </si>
  <si>
    <t>空ﾊﾟﾚｯﾄC/V2投入前ｽﾄｯﾊﾟ上昇端</t>
  </si>
  <si>
    <t>data037</t>
  </si>
  <si>
    <t>検定1治具ｽﾄｯﾊﾟ1 後退</t>
  </si>
  <si>
    <t>検定1治具ｽﾄｯﾊﾟｰ1 後退端</t>
  </si>
  <si>
    <t>data038</t>
  </si>
  <si>
    <t>検定1治具ｽﾄｯﾊﾟ1 前進</t>
  </si>
  <si>
    <t>検定1治具ｽﾄｯﾊﾟｰ1 前進端</t>
  </si>
  <si>
    <t>data039</t>
  </si>
  <si>
    <t>検定1治具ｽﾄｯﾊﾟ2 後退</t>
  </si>
  <si>
    <t>検定1治具ｽﾄｯﾊﾟｰ2 下降端</t>
  </si>
  <si>
    <t>data040</t>
  </si>
  <si>
    <t>検定1治具ｽﾄｯﾊﾟ2 前進</t>
  </si>
  <si>
    <t>検定1治具ｽﾄｯﾊﾟｰ2 上昇端</t>
  </si>
  <si>
    <t>data041</t>
  </si>
  <si>
    <t>検定1治具ｽﾗｲﾄﾞ 前進</t>
  </si>
  <si>
    <t>検定1治具ｽﾗｲﾄﾞ 後退端</t>
  </si>
  <si>
    <t>data042</t>
  </si>
  <si>
    <t>検定1治具ｽﾗｲﾄﾞ 前進端</t>
  </si>
  <si>
    <t>data043</t>
  </si>
  <si>
    <t>検定2治具ｽﾄｯﾊﾟ1 後退</t>
  </si>
  <si>
    <t>検定2治具ｽﾗｲﾄﾞ1 後退端</t>
  </si>
  <si>
    <t>data044</t>
  </si>
  <si>
    <t>検定2治具ｽﾄｯﾊﾟ1 前進</t>
  </si>
  <si>
    <t>検定2治具ｽﾗｲﾄﾞ1 前進端</t>
  </si>
  <si>
    <t>data045</t>
  </si>
  <si>
    <t>検定2治具ｽﾄｯﾊﾟ2 後退</t>
  </si>
  <si>
    <t>検定2治具ｽﾗｲﾄﾞ2 後退端</t>
  </si>
  <si>
    <t>data046</t>
  </si>
  <si>
    <t>検定2治具ｽﾄｯﾊﾟ2 前進</t>
  </si>
  <si>
    <t>検定2治具ｽﾗｲﾄﾞ2 前進端</t>
  </si>
  <si>
    <t>data047</t>
  </si>
  <si>
    <t>検定2治具ｽﾗｲﾄﾞ 前進</t>
  </si>
  <si>
    <t>検定2治具ｽﾄｯﾊﾟｰ 後退端</t>
  </si>
  <si>
    <t>data048</t>
  </si>
  <si>
    <t>検定2治具ｽﾄｯﾊﾟｰ 前進端</t>
  </si>
  <si>
    <t>data049</t>
  </si>
  <si>
    <t>締付治具部 BKT押え 押え</t>
  </si>
  <si>
    <t>締付治具部 BKT押え 後退端</t>
  </si>
  <si>
    <t>data050</t>
  </si>
  <si>
    <t>締付治具部 BKT押え 戻し</t>
  </si>
  <si>
    <t>締付治具部 BKT押え 前進端</t>
  </si>
  <si>
    <t>data051</t>
  </si>
  <si>
    <t>締付治具部Dﾊﾟｲﾌﾟｶﾞｲﾄﾞ 後退</t>
  </si>
  <si>
    <t>締付治具部Dﾊﾟｲﾌﾟｶﾞｲﾄﾞ 後退端</t>
  </si>
  <si>
    <t>data052</t>
  </si>
  <si>
    <t>締付治具部Dﾊﾟｲﾌﾟｶﾞｲﾄﾞ 前進</t>
  </si>
  <si>
    <t>締付治具部Dﾊﾟｲﾌﾟｶﾞｲﾄﾞ 前進端</t>
  </si>
  <si>
    <t>data053</t>
  </si>
  <si>
    <t>締付治具部Dﾊﾟｲﾌﾟﾁｬｯｸ ｱﾝﾁｬｯｸ</t>
  </si>
  <si>
    <t>締付治具部Dﾊﾟｲﾌﾟﾁｬｯｸ ｱﾝﾁｬｯｸ端</t>
  </si>
  <si>
    <t>data054</t>
  </si>
  <si>
    <t>締付治具部Dﾊﾟｲﾌﾟﾁｬｯｸ ﾁｬｯｸ</t>
  </si>
  <si>
    <t>締付治具部Dﾊﾟｲﾌﾟﾁｬｯｸ ﾁｬｯｸ端</t>
  </si>
  <si>
    <t>data055</t>
  </si>
  <si>
    <t>締付治具部Dﾊﾟｲﾌﾟ押え 下降</t>
  </si>
  <si>
    <t>締付治具部Dﾊﾟｲﾌﾟ押え 下降端</t>
  </si>
  <si>
    <t>data056</t>
  </si>
  <si>
    <t>締付治具部Dﾊﾟｲﾌﾟ押え 上昇</t>
  </si>
  <si>
    <t>締付治具部Dﾊﾟｲﾌﾟ押え 上昇端</t>
  </si>
  <si>
    <t>data057</t>
  </si>
  <si>
    <t>締付治具部ｴﾊﾞ押え 後退</t>
  </si>
  <si>
    <t>締付治具部ｴﾊﾞ押え 後退端</t>
  </si>
  <si>
    <t>data058</t>
  </si>
  <si>
    <t>締付治具部ｴﾊﾞ押え 前進</t>
  </si>
  <si>
    <t>締付治具部ｴﾊﾞ押え 前進端</t>
  </si>
  <si>
    <t>data059</t>
  </si>
  <si>
    <t>締付治具部基準面段取り1 下降</t>
  </si>
  <si>
    <t>締付治具部基準面段取り1 下降端</t>
  </si>
  <si>
    <t>data060</t>
  </si>
  <si>
    <t>締付治具部基準面段取り1 上昇</t>
  </si>
  <si>
    <t>締付治具部基準面段取り1 上昇端</t>
  </si>
  <si>
    <t>data061</t>
  </si>
  <si>
    <t>締付治具部基準面段取り2 下降</t>
  </si>
  <si>
    <t>締付治具部基準面段取り2 下降端</t>
  </si>
  <si>
    <t>data062</t>
  </si>
  <si>
    <t>締付治具部基準面段取り2 上昇</t>
  </si>
  <si>
    <t>締付治具部基準面段取り2 上昇端</t>
  </si>
  <si>
    <t>data063</t>
  </si>
  <si>
    <t>締付治具部基準面段取り2ｽﾄｯﾊﾟ 後退</t>
  </si>
  <si>
    <t>締付治具部基準面段取り2 ｽﾄｯﾊﾟｰ後退端</t>
  </si>
  <si>
    <t>data064</t>
  </si>
  <si>
    <t>締付治具部基準面段取り2ｽﾄｯﾊﾟ 前進</t>
  </si>
  <si>
    <t>締付治具部基準面段取り2 ｽﾄｯﾊﾟｰ前進端</t>
  </si>
  <si>
    <t>data065</t>
  </si>
  <si>
    <t>投入部空ﾊﾟﾚｯﾄｶﾞｲﾄﾞ下降</t>
  </si>
  <si>
    <t>投入部空ﾊﾟﾚｯﾄｶﾞｲﾄﾞ下降端</t>
  </si>
  <si>
    <t>data066</t>
  </si>
  <si>
    <t>投入部空ﾊﾟﾚｯﾄｶﾞｲﾄﾞ上昇</t>
  </si>
  <si>
    <t>投入部空ﾊﾟﾚｯﾄｶﾞｲﾄﾞ上昇端</t>
  </si>
  <si>
    <t>data067</t>
  </si>
  <si>
    <t>投入部空ﾊﾟﾚｯﾄﾘﾌﾀ下降</t>
  </si>
  <si>
    <t>投入部空ﾊﾟﾚｯﾄﾘﾌﾀ下降端</t>
  </si>
  <si>
    <t>data068</t>
  </si>
  <si>
    <t>投入部空ﾊﾟﾚｯﾄﾘﾌﾀ上昇</t>
  </si>
  <si>
    <t>投入部空ﾊﾟﾚｯﾄﾘﾌﾀ上昇端</t>
  </si>
  <si>
    <t>data069</t>
  </si>
  <si>
    <t>投入部空ﾊﾟﾚｯﾄ搬送後退</t>
  </si>
  <si>
    <t>投入部空ﾊﾟﾚｯﾄ搬送後退端</t>
  </si>
  <si>
    <t>data070</t>
  </si>
  <si>
    <t>投入部空ﾊﾟﾚｯﾄ搬送前進</t>
  </si>
  <si>
    <t>投入部空ﾊﾟﾚｯﾄ搬送前進端</t>
  </si>
  <si>
    <t>data071</t>
  </si>
  <si>
    <t>投入部実ﾊﾟﾚｯﾄ90°旋回 旋回</t>
  </si>
  <si>
    <t>投入部実ﾊﾟﾚｯﾄ90°旋回旋回端</t>
  </si>
  <si>
    <t>data072</t>
  </si>
  <si>
    <t>投入部実ﾊﾟﾚｯﾄ90°旋回 戻し</t>
  </si>
  <si>
    <t>投入部実ﾊﾟﾚｯﾄ90°旋回戻し端</t>
  </si>
  <si>
    <t>data073</t>
  </si>
  <si>
    <t>投入部実ﾊﾟﾚｯﾄﾘﾌﾀ下降</t>
  </si>
  <si>
    <t>投入部実ﾊﾟﾚｯﾄﾘﾌﾀ下降端</t>
  </si>
  <si>
    <t>data074</t>
  </si>
  <si>
    <t>投入部実ﾊﾟﾚｯﾄﾘﾌﾀ上昇</t>
  </si>
  <si>
    <t>投入部実ﾊﾟﾚｯﾄﾘﾌﾀ上昇端</t>
  </si>
  <si>
    <t>data075</t>
  </si>
  <si>
    <t>投入部実ﾊﾟﾚｯﾄ搬送後退</t>
  </si>
  <si>
    <t>投入部実ﾊﾟﾚｯﾄ搬送後退端</t>
  </si>
  <si>
    <t>data076</t>
  </si>
  <si>
    <t>投入部実ﾊﾟﾚｯﾄ搬送前進</t>
  </si>
  <si>
    <t>投入部実ﾊﾟﾚｯﾄ搬送前進端</t>
  </si>
  <si>
    <t>dera_div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</si>
</sst>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/d\ h:mm;@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16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b/>
      <i/>
      <sz val="16"/>
      <color theme="1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>
      <alignment vertical="center"/>
    </xf>
    <xf numFmtId="0" fontId="4" fillId="2" borderId="0" xfId="0" applyFont="1" applyFill="1">
      <alignment vertical="center"/>
    </xf>
    <xf numFmtId="0" fontId="5" fillId="2" borderId="0" xfId="0" applyFont="1" applyFill="1">
      <alignment vertical="center"/>
    </xf>
    <xf numFmtId="0" fontId="3" fillId="3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data!$A$2:$A$17658</c:f>
              <c:numCache>
                <c:formatCode>yyyy/m/d\ h:mm;@</c:formatCode>
                <c:ptCount val="17657"/>
              </c:numCache>
            </c:numRef>
          </c:xVal>
          <c:yVal>
            <c:numRef>
              <c:f>data!$B$2:$B$17658</c:f>
              <c:numCache>
                <c:formatCode>General</c:formatCode>
                <c:ptCount val="1765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C1-491F-BA2F-BA7F4C9730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491839"/>
        <c:axId val="1267488959"/>
      </c:scatterChart>
      <c:valAx>
        <c:axId val="12674918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r>
                  <a:rPr lang="ja-JP" sz="1200" b="1"/>
                  <a:t>年月日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yyyy/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1267488959"/>
        <c:crosses val="autoZero"/>
        <c:crossBetween val="midCat"/>
      </c:valAx>
      <c:valAx>
        <c:axId val="126748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r>
                  <a:rPr lang="ja-JP" altLang="en-US" sz="1200" b="1"/>
                  <a:t>動作時間</a:t>
                </a:r>
                <a:r>
                  <a:rPr lang="en-US" altLang="ja-JP" sz="1200" b="1"/>
                  <a:t>(ms)</a:t>
                </a:r>
                <a:endParaRPr lang="ja-JP" sz="1200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12674918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Meiryo UI" panose="020B0604030504040204" pitchFamily="50" charset="-128"/>
          <a:ea typeface="Meiryo UI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data!$J$1</c:f>
              <c:strCache>
                <c:ptCount val="1"/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 w="25400">
              <a:solidFill>
                <a:schemeClr val="accent1"/>
              </a:solidFill>
            </a:ln>
            <a:effectLst/>
          </c:spPr>
          <c:invertIfNegative val="0"/>
          <c:cat>
            <c:numRef>
              <c:f>data!$I$2:$I$11</c:f>
              <c:numCache>
                <c:formatCode>General</c:formatCode>
                <c:ptCount val="10"/>
              </c:numCache>
            </c:numRef>
          </c:cat>
          <c:val>
            <c:numRef>
              <c:f>data!$J$2:$J$11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2-0C91-4057-96C1-F60B70ED8A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100"/>
        <c:axId val="841441744"/>
        <c:axId val="843228736"/>
      </c:barChart>
      <c:catAx>
        <c:axId val="84144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r>
                  <a:rPr lang="ja-JP" altLang="en-US" sz="1200" b="1"/>
                  <a:t>データ区間</a:t>
                </a:r>
                <a:endParaRPr lang="ja-JP" sz="1200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843228736"/>
        <c:crosses val="autoZero"/>
        <c:auto val="1"/>
        <c:lblAlgn val="ctr"/>
        <c:lblOffset val="100"/>
        <c:noMultiLvlLbl val="0"/>
      </c:catAx>
      <c:valAx>
        <c:axId val="84322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r>
                  <a:rPr lang="ja-JP" altLang="en-US" sz="1200" b="1"/>
                  <a:t>頻度</a:t>
                </a:r>
                <a:endParaRPr lang="ja-JP" sz="1200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84144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Meiryo UI" panose="020B0604030504040204" pitchFamily="50" charset="-128"/>
          <a:ea typeface="Meiryo UI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295274</xdr:colOff>
      <xdr:row>2</xdr:row>
      <xdr:rowOff>66673</xdr:rowOff>
    </xdr:from>
    <xdr:to>
      <xdr:col>8</xdr:col>
      <xdr:colOff>419099</xdr:colOff>
      <xdr:row>26</xdr:row>
      <xdr:rowOff>28574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ECF51878-0A9F-8560-222C-0C4C2C1A26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971549</xdr:colOff>
      <xdr:row>10</xdr:row>
      <xdr:rowOff>190500</xdr:rowOff>
    </xdr:from>
    <xdr:to>
      <xdr:col>5</xdr:col>
      <xdr:colOff>2667000</xdr:colOff>
      <xdr:row>15</xdr:row>
      <xdr:rowOff>104775</xdr:rowOff>
    </xdr:to>
    <xdr:sp macro="" textlink="">
      <xdr:nvSpPr>
        <xdr:cNvPr id="3" name="message" hidden="1">
          <a:extLst>
            <a:ext uri="{FF2B5EF4-FFF2-40B4-BE49-F238E27FC236}">
              <a16:creationId xmlns:a16="http://schemas.microsoft.com/office/drawing/2014/main" id="{7128D281-3C01-0070-7ED5-C749118CC1B1}"/>
            </a:ext>
          </a:extLst>
        </xdr:cNvPr>
        <xdr:cNvSpPr/>
      </xdr:nvSpPr>
      <xdr:spPr>
        <a:xfrm>
          <a:off x="3467099" y="2162175"/>
          <a:ext cx="2990851" cy="9144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>
              <a:latin typeface="Meiryo UI" panose="020B0604030504040204" pitchFamily="50" charset="-128"/>
              <a:ea typeface="Meiryo UI" panose="020B0604030504040204" pitchFamily="50" charset="-128"/>
            </a:rPr>
            <a:t>対象データがありません</a:t>
          </a:r>
        </a:p>
      </xdr:txBody>
    </xdr:sp>
    <xdr:clientData/>
  </xdr:twoCellAnchor>
  <xdr:twoCellAnchor>
    <xdr:from>
      <xdr:col>8</xdr:col>
      <xdr:colOff>504824</xdr:colOff>
      <xdr:row>3</xdr:row>
      <xdr:rowOff>0</xdr:rowOff>
    </xdr:from>
    <xdr:to>
      <xdr:col>17</xdr:col>
      <xdr:colOff>190499</xdr:colOff>
      <xdr:row>26</xdr:row>
      <xdr:rowOff>9525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6D8A845A-978D-012F-02EB-63EF66DAC7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D9BEB-48C7-49C3-88B2-B971B7D767F1}">
  <sheetPr codeName="Sheet1"/>
  <dimension ref="B1:F3"/>
  <sheetViews>
    <sheetView tabSelected="1" workbookViewId="0">
      <selection activeCell="C2" sqref="C2"/>
    </sheetView>
  </sheetViews>
  <sheetFormatPr defaultRowHeight="15.75" x14ac:dyDescent="0.4"/>
  <cols>
    <col min="1" max="1" width="3.875" style="2" customWidth="1"/>
    <col min="2" max="2" width="12.875" style="2" bestFit="1" customWidth="1"/>
    <col min="3" max="3" width="12.75" style="2" bestFit="1" customWidth="1"/>
    <col min="4" max="4" width="3.25" style="2" customWidth="1"/>
    <col min="5" max="5" width="17" style="2" bestFit="1" customWidth="1"/>
    <col min="6" max="6" width="49" style="2" customWidth="1"/>
    <col min="7" max="16384" width="9" style="2"/>
  </cols>
  <sheetData>
    <row r="1" spans="2:6" ht="10.5" customHeight="1" x14ac:dyDescent="0.4"/>
    <row r="2" spans="2:6" s="3" customFormat="1" ht="29.25" customHeight="1" x14ac:dyDescent="0.4">
      <c r="B2" s="4" t="s">
        <v>2</v>
      </c>
      <c r="C2" s="6" t="s">
        <v>88</v>
      </c>
      <c r="E2" s="5" t="s">
        <v>3</v>
      </c>
      <c r="F2" s="6" t="str">
        <f>_xlfn.XLOOKUP(C2,data!D:D,data!E:E,"",0)</f>
        <v>ねじ締め2部BKT押え（上）上昇</v>
      </c>
    </row>
    <row r="3" spans="2:6" ht="5.25" customHeight="1" x14ac:dyDescent="0.4"/>
  </sheetData>
  <phoneticPr fontId="1"/>
  <pageMargins left="0.7" right="0.7" top="0.75" bottom="0.75" header="0.3" footer="0.3"/>
  <headerFooter>
    <oddHeader>&amp;C&amp;"Calibri"&amp;10&amp;KFF0000 CONFIDENTIAL&amp;1#_x000D_</oddHeader>
  </headerFooter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5387505-4901-49DF-AB5A-AA4E10D02CD0}">
          <x14:formula1>
            <xm:f>data!$D2:$D1000</xm:f>
          </x14:formula1>
          <xm:sqref>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60495-2726-43B9-AED0-9CB377675F11}">
  <sheetPr codeName="Sheet2"/>
  <dimension ref="A1:H77"/>
  <sheetViews>
    <sheetView workbookViewId="0">
      <selection activeCell="I1" sqref="I1:J12"/>
    </sheetView>
  </sheetViews>
  <sheetFormatPr defaultRowHeight="18.75" x14ac:dyDescent="0.4"/>
  <cols>
    <col min="1" max="1" width="15.875" style="1" bestFit="1" customWidth="1"/>
    <col min="2" max="2" width="15.5" bestFit="1" customWidth="1"/>
    <col min="4" max="4" width="8.25" bestFit="1" customWidth="1"/>
    <col min="5" max="5" width="36.75" bestFit="1" customWidth="1"/>
    <col min="6" max="6" width="38.875" bestFit="1" customWidth="1"/>
    <col min="8" max="8" width="8.75" bestFit="1" customWidth="1"/>
    <col min="9" max="9" width="12.625" bestFit="1" customWidth="1"/>
    <col min="10" max="10" width="6.5" bestFit="1" customWidth="1"/>
  </cols>
  <sheetData>
    <row r="1" spans="1:8" x14ac:dyDescent="0.4">
      <c r="A1" s="1" t="s">
        <v>0</v>
      </c>
      <c r="B1" t="s">
        <v>1</v>
      </c>
      <c r="D1" t="s">
        <v>4</v>
      </c>
      <c r="E1" t="s">
        <v>5</v>
      </c>
      <c r="F1" t="s">
        <v>6</v>
      </c>
      <c r="H1" t="s">
        <v>233</v>
      </c>
    </row>
    <row r="2" spans="1:8" x14ac:dyDescent="0.4">
      <c r="D2" t="s">
        <v>7</v>
      </c>
      <c r="E2" t="s">
        <v>8</v>
      </c>
      <c r="F2" t="s">
        <v>9</v>
      </c>
      <c r="H2">
        <f>MIN(B2:B50000)</f>
        <v>0</v>
      </c>
    </row>
    <row r="3" spans="1:8" x14ac:dyDescent="0.4">
      <c r="D3" t="s">
        <v>10</v>
      </c>
      <c r="E3" t="s">
        <v>11</v>
      </c>
      <c r="F3" t="s">
        <v>12</v>
      </c>
      <c r="H3">
        <f>ROUND($H$2+($H$11-$H$2)*1/9,0)</f>
        <v>0</v>
      </c>
    </row>
    <row r="4" spans="1:8" x14ac:dyDescent="0.4">
      <c r="D4" t="s">
        <v>13</v>
      </c>
      <c r="E4" t="s">
        <v>14</v>
      </c>
      <c r="F4" t="s">
        <v>15</v>
      </c>
      <c r="H4">
        <f>ROUND($H$2+($H$11-$H$2)*2/9,0)</f>
        <v>0</v>
      </c>
    </row>
    <row r="5" spans="1:8" x14ac:dyDescent="0.4">
      <c r="D5" t="s">
        <v>16</v>
      </c>
      <c r="E5" t="s">
        <v>17</v>
      </c>
      <c r="F5" t="s">
        <v>18</v>
      </c>
      <c r="H5">
        <f>ROUND($H$2+($H$11-$H$2)*3/9,0)</f>
        <v>0</v>
      </c>
    </row>
    <row r="6" spans="1:8" x14ac:dyDescent="0.4">
      <c r="D6" t="s">
        <v>19</v>
      </c>
      <c r="E6" t="s">
        <v>20</v>
      </c>
      <c r="F6" t="s">
        <v>21</v>
      </c>
      <c r="H6">
        <f>ROUND($H$2+($H$11-$H$2)*4/9,0)</f>
        <v>0</v>
      </c>
    </row>
    <row r="7" spans="1:8" x14ac:dyDescent="0.4">
      <c r="D7" t="s">
        <v>22</v>
      </c>
      <c r="E7" t="s">
        <v>23</v>
      </c>
      <c r="F7" t="s">
        <v>24</v>
      </c>
      <c r="H7">
        <f>ROUND($H$2+($H$11-$H$2)*5/9,0)</f>
        <v>0</v>
      </c>
    </row>
    <row r="8" spans="1:8" x14ac:dyDescent="0.4">
      <c r="D8" t="s">
        <v>25</v>
      </c>
      <c r="E8" t="s">
        <v>26</v>
      </c>
      <c r="F8" t="s">
        <v>27</v>
      </c>
      <c r="H8">
        <f>ROUND($H$2+($H$11-$H$2)*6/9,0)</f>
        <v>0</v>
      </c>
    </row>
    <row r="9" spans="1:8" x14ac:dyDescent="0.4">
      <c r="D9" t="s">
        <v>28</v>
      </c>
      <c r="E9" t="s">
        <v>29</v>
      </c>
      <c r="F9" t="s">
        <v>30</v>
      </c>
      <c r="H9">
        <f>ROUND($H$2+($H$11-$H$2)*7/9,0)</f>
        <v>0</v>
      </c>
    </row>
    <row r="10" spans="1:8" x14ac:dyDescent="0.4">
      <c r="D10" t="s">
        <v>31</v>
      </c>
      <c r="E10" t="s">
        <v>32</v>
      </c>
      <c r="F10" t="s">
        <v>33</v>
      </c>
      <c r="H10">
        <f>ROUND($H$2+($H$11-$H$2)*8/9,0)</f>
        <v>0</v>
      </c>
    </row>
    <row r="11" spans="1:8" x14ac:dyDescent="0.4">
      <c r="D11" t="s">
        <v>34</v>
      </c>
      <c r="E11" t="s">
        <v>35</v>
      </c>
      <c r="F11" t="s">
        <v>36</v>
      </c>
      <c r="H11">
        <f>MAX(B2:B50000)</f>
        <v>0</v>
      </c>
    </row>
    <row r="12" spans="1:8" x14ac:dyDescent="0.4">
      <c r="D12" t="s">
        <v>37</v>
      </c>
      <c r="E12" t="s">
        <v>38</v>
      </c>
      <c r="F12" t="s">
        <v>39</v>
      </c>
    </row>
    <row r="13" spans="1:8" x14ac:dyDescent="0.4">
      <c r="D13" t="s">
        <v>40</v>
      </c>
      <c r="E13" t="s">
        <v>41</v>
      </c>
      <c r="F13" t="s">
        <v>42</v>
      </c>
    </row>
    <row r="14" spans="1:8" x14ac:dyDescent="0.4">
      <c r="D14" t="s">
        <v>43</v>
      </c>
      <c r="E14" t="s">
        <v>44</v>
      </c>
      <c r="F14" t="s">
        <v>45</v>
      </c>
    </row>
    <row r="15" spans="1:8" x14ac:dyDescent="0.4">
      <c r="D15" t="s">
        <v>46</v>
      </c>
      <c r="E15" t="s">
        <v>47</v>
      </c>
      <c r="F15" t="s">
        <v>48</v>
      </c>
    </row>
    <row r="16" spans="1:8" x14ac:dyDescent="0.4">
      <c r="D16" t="s">
        <v>49</v>
      </c>
      <c r="E16" t="s">
        <v>50</v>
      </c>
      <c r="F16" t="s">
        <v>51</v>
      </c>
    </row>
    <row r="17" spans="4:6" x14ac:dyDescent="0.4">
      <c r="D17" t="s">
        <v>52</v>
      </c>
      <c r="E17" t="s">
        <v>53</v>
      </c>
      <c r="F17" t="s">
        <v>54</v>
      </c>
    </row>
    <row r="18" spans="4:6" x14ac:dyDescent="0.4">
      <c r="D18" t="s">
        <v>55</v>
      </c>
      <c r="E18" t="s">
        <v>56</v>
      </c>
      <c r="F18" t="s">
        <v>57</v>
      </c>
    </row>
    <row r="19" spans="4:6" x14ac:dyDescent="0.4">
      <c r="D19" t="s">
        <v>58</v>
      </c>
      <c r="E19" t="s">
        <v>59</v>
      </c>
      <c r="F19" t="s">
        <v>60</v>
      </c>
    </row>
    <row r="20" spans="4:6" x14ac:dyDescent="0.4">
      <c r="D20" t="s">
        <v>61</v>
      </c>
      <c r="E20" t="s">
        <v>62</v>
      </c>
      <c r="F20" t="s">
        <v>63</v>
      </c>
    </row>
    <row r="21" spans="4:6" x14ac:dyDescent="0.4">
      <c r="D21" t="s">
        <v>64</v>
      </c>
      <c r="E21" t="s">
        <v>65</v>
      </c>
      <c r="F21" t="s">
        <v>66</v>
      </c>
    </row>
    <row r="22" spans="4:6" x14ac:dyDescent="0.4">
      <c r="D22" t="s">
        <v>67</v>
      </c>
      <c r="E22" t="s">
        <v>68</v>
      </c>
      <c r="F22" t="s">
        <v>69</v>
      </c>
    </row>
    <row r="23" spans="4:6" x14ac:dyDescent="0.4">
      <c r="D23" t="s">
        <v>70</v>
      </c>
      <c r="E23" t="s">
        <v>71</v>
      </c>
      <c r="F23" t="s">
        <v>72</v>
      </c>
    </row>
    <row r="24" spans="4:6" x14ac:dyDescent="0.4">
      <c r="D24" t="s">
        <v>73</v>
      </c>
      <c r="E24" t="s">
        <v>74</v>
      </c>
      <c r="F24" t="s">
        <v>75</v>
      </c>
    </row>
    <row r="25" spans="4:6" x14ac:dyDescent="0.4">
      <c r="D25" t="s">
        <v>76</v>
      </c>
      <c r="E25" t="s">
        <v>77</v>
      </c>
      <c r="F25" t="s">
        <v>78</v>
      </c>
    </row>
    <row r="26" spans="4:6" x14ac:dyDescent="0.4">
      <c r="D26" t="s">
        <v>79</v>
      </c>
      <c r="E26" t="s">
        <v>80</v>
      </c>
      <c r="F26" t="s">
        <v>81</v>
      </c>
    </row>
    <row r="27" spans="4:6" x14ac:dyDescent="0.4">
      <c r="D27" t="s">
        <v>82</v>
      </c>
      <c r="E27" t="s">
        <v>83</v>
      </c>
      <c r="F27" t="s">
        <v>84</v>
      </c>
    </row>
    <row r="28" spans="4:6" x14ac:dyDescent="0.4">
      <c r="D28" t="s">
        <v>85</v>
      </c>
      <c r="E28" t="s">
        <v>86</v>
      </c>
      <c r="F28" t="s">
        <v>87</v>
      </c>
    </row>
    <row r="29" spans="4:6" x14ac:dyDescent="0.4">
      <c r="D29" t="s">
        <v>88</v>
      </c>
      <c r="E29" t="s">
        <v>89</v>
      </c>
      <c r="F29" t="s">
        <v>90</v>
      </c>
    </row>
    <row r="30" spans="4:6" x14ac:dyDescent="0.4">
      <c r="D30" t="s">
        <v>91</v>
      </c>
      <c r="E30" t="s">
        <v>92</v>
      </c>
      <c r="F30" t="s">
        <v>93</v>
      </c>
    </row>
    <row r="31" spans="4:6" x14ac:dyDescent="0.4">
      <c r="D31" t="s">
        <v>94</v>
      </c>
      <c r="E31" t="s">
        <v>95</v>
      </c>
      <c r="F31" t="s">
        <v>96</v>
      </c>
    </row>
    <row r="32" spans="4:6" x14ac:dyDescent="0.4">
      <c r="D32" t="s">
        <v>97</v>
      </c>
      <c r="E32" t="s">
        <v>98</v>
      </c>
      <c r="F32" t="s">
        <v>99</v>
      </c>
    </row>
    <row r="33" spans="4:6" x14ac:dyDescent="0.4">
      <c r="D33" t="s">
        <v>100</v>
      </c>
      <c r="E33" t="s">
        <v>101</v>
      </c>
      <c r="F33" t="s">
        <v>102</v>
      </c>
    </row>
    <row r="34" spans="4:6" x14ac:dyDescent="0.4">
      <c r="D34" t="s">
        <v>103</v>
      </c>
      <c r="E34" t="s">
        <v>104</v>
      </c>
      <c r="F34" t="s">
        <v>105</v>
      </c>
    </row>
    <row r="35" spans="4:6" x14ac:dyDescent="0.4">
      <c r="D35" t="s">
        <v>106</v>
      </c>
      <c r="E35" t="s">
        <v>107</v>
      </c>
      <c r="F35" t="s">
        <v>108</v>
      </c>
    </row>
    <row r="36" spans="4:6" x14ac:dyDescent="0.4">
      <c r="D36" t="s">
        <v>109</v>
      </c>
      <c r="E36" t="s">
        <v>110</v>
      </c>
      <c r="F36" t="s">
        <v>111</v>
      </c>
    </row>
    <row r="37" spans="4:6" x14ac:dyDescent="0.4">
      <c r="D37" t="s">
        <v>112</v>
      </c>
      <c r="E37" t="s">
        <v>113</v>
      </c>
      <c r="F37" t="s">
        <v>114</v>
      </c>
    </row>
    <row r="38" spans="4:6" x14ac:dyDescent="0.4">
      <c r="D38" t="s">
        <v>115</v>
      </c>
      <c r="E38" t="s">
        <v>116</v>
      </c>
      <c r="F38" t="s">
        <v>117</v>
      </c>
    </row>
    <row r="39" spans="4:6" x14ac:dyDescent="0.4">
      <c r="D39" t="s">
        <v>118</v>
      </c>
      <c r="E39" t="s">
        <v>119</v>
      </c>
      <c r="F39" t="s">
        <v>120</v>
      </c>
    </row>
    <row r="40" spans="4:6" x14ac:dyDescent="0.4">
      <c r="D40" t="s">
        <v>121</v>
      </c>
      <c r="E40" t="s">
        <v>122</v>
      </c>
      <c r="F40" t="s">
        <v>123</v>
      </c>
    </row>
    <row r="41" spans="4:6" x14ac:dyDescent="0.4">
      <c r="D41" t="s">
        <v>124</v>
      </c>
      <c r="E41" t="s">
        <v>125</v>
      </c>
      <c r="F41" t="s">
        <v>126</v>
      </c>
    </row>
    <row r="42" spans="4:6" x14ac:dyDescent="0.4">
      <c r="D42" t="s">
        <v>127</v>
      </c>
      <c r="E42" t="s">
        <v>128</v>
      </c>
      <c r="F42" t="s">
        <v>129</v>
      </c>
    </row>
    <row r="43" spans="4:6" x14ac:dyDescent="0.4">
      <c r="D43" t="s">
        <v>130</v>
      </c>
      <c r="E43" t="s">
        <v>128</v>
      </c>
      <c r="F43" t="s">
        <v>131</v>
      </c>
    </row>
    <row r="44" spans="4:6" x14ac:dyDescent="0.4">
      <c r="D44" t="s">
        <v>132</v>
      </c>
      <c r="E44" t="s">
        <v>133</v>
      </c>
      <c r="F44" t="s">
        <v>134</v>
      </c>
    </row>
    <row r="45" spans="4:6" x14ac:dyDescent="0.4">
      <c r="D45" t="s">
        <v>135</v>
      </c>
      <c r="E45" t="s">
        <v>136</v>
      </c>
      <c r="F45" t="s">
        <v>137</v>
      </c>
    </row>
    <row r="46" spans="4:6" x14ac:dyDescent="0.4">
      <c r="D46" t="s">
        <v>138</v>
      </c>
      <c r="E46" t="s">
        <v>139</v>
      </c>
      <c r="F46" t="s">
        <v>140</v>
      </c>
    </row>
    <row r="47" spans="4:6" x14ac:dyDescent="0.4">
      <c r="D47" t="s">
        <v>141</v>
      </c>
      <c r="E47" t="s">
        <v>142</v>
      </c>
      <c r="F47" t="s">
        <v>143</v>
      </c>
    </row>
    <row r="48" spans="4:6" x14ac:dyDescent="0.4">
      <c r="D48" t="s">
        <v>144</v>
      </c>
      <c r="E48" t="s">
        <v>145</v>
      </c>
      <c r="F48" t="s">
        <v>146</v>
      </c>
    </row>
    <row r="49" spans="4:6" x14ac:dyDescent="0.4">
      <c r="D49" t="s">
        <v>147</v>
      </c>
      <c r="E49" t="s">
        <v>145</v>
      </c>
      <c r="F49" t="s">
        <v>148</v>
      </c>
    </row>
    <row r="50" spans="4:6" x14ac:dyDescent="0.4">
      <c r="D50" t="s">
        <v>149</v>
      </c>
      <c r="E50" t="s">
        <v>150</v>
      </c>
      <c r="F50" t="s">
        <v>151</v>
      </c>
    </row>
    <row r="51" spans="4:6" x14ac:dyDescent="0.4">
      <c r="D51" t="s">
        <v>152</v>
      </c>
      <c r="E51" t="s">
        <v>153</v>
      </c>
      <c r="F51" t="s">
        <v>154</v>
      </c>
    </row>
    <row r="52" spans="4:6" x14ac:dyDescent="0.4">
      <c r="D52" t="s">
        <v>155</v>
      </c>
      <c r="E52" t="s">
        <v>156</v>
      </c>
      <c r="F52" t="s">
        <v>157</v>
      </c>
    </row>
    <row r="53" spans="4:6" x14ac:dyDescent="0.4">
      <c r="D53" t="s">
        <v>158</v>
      </c>
      <c r="E53" t="s">
        <v>159</v>
      </c>
      <c r="F53" t="s">
        <v>160</v>
      </c>
    </row>
    <row r="54" spans="4:6" x14ac:dyDescent="0.4">
      <c r="D54" t="s">
        <v>161</v>
      </c>
      <c r="E54" t="s">
        <v>162</v>
      </c>
      <c r="F54" t="s">
        <v>163</v>
      </c>
    </row>
    <row r="55" spans="4:6" x14ac:dyDescent="0.4">
      <c r="D55" t="s">
        <v>164</v>
      </c>
      <c r="E55" t="s">
        <v>165</v>
      </c>
      <c r="F55" t="s">
        <v>166</v>
      </c>
    </row>
    <row r="56" spans="4:6" x14ac:dyDescent="0.4">
      <c r="D56" t="s">
        <v>167</v>
      </c>
      <c r="E56" t="s">
        <v>168</v>
      </c>
      <c r="F56" t="s">
        <v>169</v>
      </c>
    </row>
    <row r="57" spans="4:6" x14ac:dyDescent="0.4">
      <c r="D57" t="s">
        <v>170</v>
      </c>
      <c r="E57" t="s">
        <v>171</v>
      </c>
      <c r="F57" t="s">
        <v>172</v>
      </c>
    </row>
    <row r="58" spans="4:6" x14ac:dyDescent="0.4">
      <c r="D58" t="s">
        <v>173</v>
      </c>
      <c r="E58" t="s">
        <v>174</v>
      </c>
      <c r="F58" t="s">
        <v>175</v>
      </c>
    </row>
    <row r="59" spans="4:6" x14ac:dyDescent="0.4">
      <c r="D59" t="s">
        <v>176</v>
      </c>
      <c r="E59" t="s">
        <v>177</v>
      </c>
      <c r="F59" t="s">
        <v>178</v>
      </c>
    </row>
    <row r="60" spans="4:6" x14ac:dyDescent="0.4">
      <c r="D60" t="s">
        <v>179</v>
      </c>
      <c r="E60" t="s">
        <v>180</v>
      </c>
      <c r="F60" t="s">
        <v>181</v>
      </c>
    </row>
    <row r="61" spans="4:6" x14ac:dyDescent="0.4">
      <c r="D61" t="s">
        <v>182</v>
      </c>
      <c r="E61" t="s">
        <v>183</v>
      </c>
      <c r="F61" t="s">
        <v>184</v>
      </c>
    </row>
    <row r="62" spans="4:6" x14ac:dyDescent="0.4">
      <c r="D62" t="s">
        <v>185</v>
      </c>
      <c r="E62" t="s">
        <v>186</v>
      </c>
      <c r="F62" t="s">
        <v>187</v>
      </c>
    </row>
    <row r="63" spans="4:6" x14ac:dyDescent="0.4">
      <c r="D63" t="s">
        <v>188</v>
      </c>
      <c r="E63" t="s">
        <v>189</v>
      </c>
      <c r="F63" t="s">
        <v>190</v>
      </c>
    </row>
    <row r="64" spans="4:6" x14ac:dyDescent="0.4">
      <c r="D64" t="s">
        <v>191</v>
      </c>
      <c r="E64" t="s">
        <v>192</v>
      </c>
      <c r="F64" t="s">
        <v>193</v>
      </c>
    </row>
    <row r="65" spans="4:6" x14ac:dyDescent="0.4">
      <c r="D65" t="s">
        <v>194</v>
      </c>
      <c r="E65" t="s">
        <v>195</v>
      </c>
      <c r="F65" t="s">
        <v>196</v>
      </c>
    </row>
    <row r="66" spans="4:6" x14ac:dyDescent="0.4">
      <c r="D66" t="s">
        <v>197</v>
      </c>
      <c r="E66" t="s">
        <v>198</v>
      </c>
      <c r="F66" t="s">
        <v>199</v>
      </c>
    </row>
    <row r="67" spans="4:6" x14ac:dyDescent="0.4">
      <c r="D67" t="s">
        <v>200</v>
      </c>
      <c r="E67" t="s">
        <v>201</v>
      </c>
      <c r="F67" t="s">
        <v>202</v>
      </c>
    </row>
    <row r="68" spans="4:6" x14ac:dyDescent="0.4">
      <c r="D68" t="s">
        <v>203</v>
      </c>
      <c r="E68" t="s">
        <v>204</v>
      </c>
      <c r="F68" t="s">
        <v>205</v>
      </c>
    </row>
    <row r="69" spans="4:6" x14ac:dyDescent="0.4">
      <c r="D69" t="s">
        <v>206</v>
      </c>
      <c r="E69" t="s">
        <v>207</v>
      </c>
      <c r="F69" t="s">
        <v>208</v>
      </c>
    </row>
    <row r="70" spans="4:6" x14ac:dyDescent="0.4">
      <c r="D70" t="s">
        <v>209</v>
      </c>
      <c r="E70" t="s">
        <v>210</v>
      </c>
      <c r="F70" t="s">
        <v>211</v>
      </c>
    </row>
    <row r="71" spans="4:6" x14ac:dyDescent="0.4">
      <c r="D71" t="s">
        <v>212</v>
      </c>
      <c r="E71" t="s">
        <v>213</v>
      </c>
      <c r="F71" t="s">
        <v>214</v>
      </c>
    </row>
    <row r="72" spans="4:6" x14ac:dyDescent="0.4">
      <c r="D72" t="s">
        <v>215</v>
      </c>
      <c r="E72" t="s">
        <v>216</v>
      </c>
      <c r="F72" t="s">
        <v>217</v>
      </c>
    </row>
    <row r="73" spans="4:6" x14ac:dyDescent="0.4">
      <c r="D73" t="s">
        <v>218</v>
      </c>
      <c r="E73" t="s">
        <v>219</v>
      </c>
      <c r="F73" t="s">
        <v>220</v>
      </c>
    </row>
    <row r="74" spans="4:6" x14ac:dyDescent="0.4">
      <c r="D74" t="s">
        <v>221</v>
      </c>
      <c r="E74" t="s">
        <v>222</v>
      </c>
      <c r="F74" t="s">
        <v>223</v>
      </c>
    </row>
    <row r="75" spans="4:6" x14ac:dyDescent="0.4">
      <c r="D75" t="s">
        <v>224</v>
      </c>
      <c r="E75" t="s">
        <v>225</v>
      </c>
      <c r="F75" t="s">
        <v>226</v>
      </c>
    </row>
    <row r="76" spans="4:6" x14ac:dyDescent="0.4">
      <c r="D76" t="s">
        <v>227</v>
      </c>
      <c r="E76" t="s">
        <v>228</v>
      </c>
      <c r="F76" t="s">
        <v>229</v>
      </c>
    </row>
    <row r="77" spans="4:6" x14ac:dyDescent="0.4">
      <c r="D77" t="s">
        <v>230</v>
      </c>
      <c r="E77" t="s">
        <v>231</v>
      </c>
      <c r="F77" t="s">
        <v>232</v>
      </c>
    </row>
  </sheetData>
  <autoFilter ref="A1:B43050" xr:uid="{5D360495-2726-43B9-AED0-9CB377675F11}"/>
  <sortState xmlns:xlrd2="http://schemas.microsoft.com/office/spreadsheetml/2017/richdata2" ref="I2:I11">
    <sortCondition ref="I2"/>
  </sortState>
  <phoneticPr fontId="1"/>
  <pageMargins left="0.7" right="0.7" top="0.75" bottom="0.75" header="0.3" footer="0.3"/>
  <headerFooter>
    <oddHeader>&amp;C&amp;"Calibri"&amp;10&amp;KFF0000 CONFIDENTIAL&amp;1#_x000D_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data</vt:lpstr>
    </vt:vector>
  </TitlesOfParts>
  <Company>DENSO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Hikaru Kitagawa (北河 光留)</dc:creator>
  <cp:lastModifiedBy>Hikaru Kitagawa (北河 光留)</cp:lastModifiedBy>
  <dcterms:created xsi:type="dcterms:W3CDTF">2026-02-13T08:04:12Z</dcterms:created>
  <dcterms:modified xsi:type="dcterms:W3CDTF">2026-02-26T00:02:19Z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ed1414a-99f2-46f9-bbe5-740af8d1b502_Enabled">
    <vt:lpwstr>true</vt:lpwstr>
  </property>
  <property fmtid="{D5CDD505-2E9C-101B-9397-08002B2CF9AE}" pid="3" name="MSIP_Label_7ed1414a-99f2-46f9-bbe5-740af8d1b502_SetDate">
    <vt:lpwstr>2026-02-13T08:48:28Z</vt:lpwstr>
  </property>
  <property fmtid="{D5CDD505-2E9C-101B-9397-08002B2CF9AE}" pid="4" name="MSIP_Label_7ed1414a-99f2-46f9-bbe5-740af8d1b502_Method">
    <vt:lpwstr>Standard</vt:lpwstr>
  </property>
  <property fmtid="{D5CDD505-2E9C-101B-9397-08002B2CF9AE}" pid="5" name="MSIP_Label_7ed1414a-99f2-46f9-bbe5-740af8d1b502_Name">
    <vt:lpwstr>G_MIP_Confidential_Standard</vt:lpwstr>
  </property>
  <property fmtid="{D5CDD505-2E9C-101B-9397-08002B2CF9AE}" pid="6" name="MSIP_Label_7ed1414a-99f2-46f9-bbe5-740af8d1b502_SiteId">
    <vt:lpwstr>69405920-b673-4f7c-8845-e124e9d08af2</vt:lpwstr>
  </property>
  <property fmtid="{D5CDD505-2E9C-101B-9397-08002B2CF9AE}" pid="7" name="MSIP_Label_7ed1414a-99f2-46f9-bbe5-740af8d1b502_ActionId">
    <vt:lpwstr>b6536a59-06f7-41ed-98e8-6c5d94c6cb1f</vt:lpwstr>
  </property>
  <property fmtid="{D5CDD505-2E9C-101B-9397-08002B2CF9AE}" pid="8" name="MSIP_Label_7ed1414a-99f2-46f9-bbe5-740af8d1b502_ContentBits">
    <vt:lpwstr>1</vt:lpwstr>
  </property>
</Properties>
</file>